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date1904="0"/>
  <workbookProtection/>
  <bookViews>
    <workbookView xWindow="360" yWindow="15" windowWidth="20955" windowHeight="9720" activeTab="0"/>
  </bookViews>
  <sheets>
    <sheet name="Lasku" sheetId="1" state="visible" r:id="rId1"/>
    <sheet name="Viitekaava" sheetId="2" state="visible" r:id="rId2"/>
    <sheet name="Koodikaava" sheetId="3" state="visible" r:id="rId3"/>
  </sheets>
  <definedNames>
    <definedName name="_xlnm.Print_Area" localSheetId="0" hidden="0">Lasku!$A$1:$H$56</definedName>
  </definedNames>
  <calcPr refMode="A1" iterate="0" iterateCount="100" iterateDelta="0.0001"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<sst xmlns="http://schemas.openxmlformats.org/spreadsheetml/2006/main" count="65" uniqueCount="65">
  <si>
    <t xml:space="preserve">Esimerkki Oy</t>
  </si>
  <si>
    <t>Lasku</t>
  </si>
  <si>
    <t xml:space="preserve">Esimerkkikatu 1</t>
  </si>
  <si>
    <t xml:space="preserve">57170 Savonlinna</t>
  </si>
  <si>
    <t>Päivämäärä</t>
  </si>
  <si>
    <t xml:space="preserve">Aseta rastit tarvittaessa viitteen tyypin mukaan</t>
  </si>
  <si>
    <t xml:space="preserve">Laskun eräpäivä</t>
  </si>
  <si>
    <t xml:space="preserve">↓ Nämä tiedot jäävät tulostusalueen ulkopuolelle</t>
  </si>
  <si>
    <t>Viivästyskorko</t>
  </si>
  <si>
    <t>Maksuehto</t>
  </si>
  <si>
    <t xml:space="preserve">Kotimainen viite</t>
  </si>
  <si>
    <t>x</t>
  </si>
  <si>
    <t xml:space="preserve">Laskun numero</t>
  </si>
  <si>
    <t xml:space="preserve">Kansainvälinen viite</t>
  </si>
  <si>
    <t xml:space="preserve">Laskutettavan tiedot</t>
  </si>
  <si>
    <t>Viitenumero</t>
  </si>
  <si>
    <t xml:space="preserve">Käytä laskun numeroa</t>
  </si>
  <si>
    <t xml:space="preserve">Asiakas Oy</t>
  </si>
  <si>
    <t xml:space="preserve">Oma viitenumero</t>
  </si>
  <si>
    <t xml:space="preserve">Asiakakuja 2</t>
  </si>
  <si>
    <t xml:space="preserve">33100 Tampere</t>
  </si>
  <si>
    <t>Lisätiedot</t>
  </si>
  <si>
    <t xml:space="preserve">Asiakastuotteen ongelmanselvitys</t>
  </si>
  <si>
    <t xml:space="preserve">Kuvaus </t>
  </si>
  <si>
    <t>Määrä</t>
  </si>
  <si>
    <t>Yksikkö</t>
  </si>
  <si>
    <t xml:space="preserve">á hinta</t>
  </si>
  <si>
    <t xml:space="preserve">Alv % </t>
  </si>
  <si>
    <t xml:space="preserve">Alv €</t>
  </si>
  <si>
    <t>Yhteensä</t>
  </si>
  <si>
    <t>Asiantuntijatyö</t>
  </si>
  <si>
    <t>h</t>
  </si>
  <si>
    <t xml:space="preserve">Matkakulu, auto</t>
  </si>
  <si>
    <t>km</t>
  </si>
  <si>
    <t>Laitelaturi</t>
  </si>
  <si>
    <t>kpl</t>
  </si>
  <si>
    <t xml:space="preserve">Veroton hinta yhteensä</t>
  </si>
  <si>
    <t xml:space="preserve">Arvonlisävero yhteensä</t>
  </si>
  <si>
    <t xml:space="preserve">Yhteensä </t>
  </si>
  <si>
    <t xml:space="preserve">Maksun saaja</t>
  </si>
  <si>
    <t>Maksutiedot</t>
  </si>
  <si>
    <t>Yritys:</t>
  </si>
  <si>
    <t>Viitenumero:</t>
  </si>
  <si>
    <t>Tilille:</t>
  </si>
  <si>
    <t xml:space="preserve">FI39 1317 3500 0749 19</t>
  </si>
  <si>
    <t>Summa:</t>
  </si>
  <si>
    <t>BIC-tunnus:</t>
  </si>
  <si>
    <t>NDEAFIHH</t>
  </si>
  <si>
    <t xml:space="preserve">Essi Esimerkki</t>
  </si>
  <si>
    <t xml:space="preserve">Y-tunnus: 3476911-7</t>
  </si>
  <si>
    <t xml:space="preserve">Puh. 040 411 3333</t>
  </si>
  <si>
    <t>essi.esimerkki@esimerkki.fi</t>
  </si>
  <si>
    <t>Viitenumeropohja</t>
  </si>
  <si>
    <t>Kotimainen</t>
  </si>
  <si>
    <t xml:space="preserve">RF tarkiste</t>
  </si>
  <si>
    <t xml:space="preserve">RF viite</t>
  </si>
  <si>
    <t>Tilinro</t>
  </si>
  <si>
    <t>Summa</t>
  </si>
  <si>
    <t>Viite</t>
  </si>
  <si>
    <t>Pvm</t>
  </si>
  <si>
    <t>Yhdiste</t>
  </si>
  <si>
    <t>Koodi</t>
  </si>
  <si>
    <t xml:space="preserve"> </t>
  </si>
  <si>
    <t>Viivakoodi</t>
  </si>
  <si>
    <t xml:space="preserve">Lataa Libre Barcode 128 fontti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</si>
</sst>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6">
    <numFmt numFmtId="164" formatCode="dd\/mm\/yyyy"/>
    <numFmt numFmtId="165" formatCode="0.00\ %"/>
    <numFmt numFmtId="166" formatCode="0&quot;pv&quot;"/>
    <numFmt numFmtId="167" formatCode="&quot;x&quot;"/>
    <numFmt numFmtId="168" formatCode="#,##0.00[$€]"/>
    <numFmt numFmtId="169" formatCode="0\ %"/>
  </numFmts>
  <fonts count="11">
    <font>
      <sz val="10.000000"/>
      <color theme="1"/>
      <name val="Arial"/>
    </font>
    <font>
      <sz val="10.000000"/>
      <name val="Arial"/>
    </font>
    <font>
      <sz val="16.000000"/>
      <name val="Arial"/>
    </font>
    <font>
      <b/>
      <sz val="10.000000"/>
      <name val="Arial"/>
    </font>
    <font>
      <i/>
      <sz val="10.000000"/>
      <name val="Arial"/>
    </font>
    <font>
      <b/>
      <sz val="12.000000"/>
      <name val="Arial"/>
    </font>
    <font>
      <sz val="12.000000"/>
      <name val="Arial"/>
    </font>
    <font>
      <sz val="36.000000"/>
      <name val="Libre Barcode 128"/>
    </font>
    <font>
      <u/>
      <sz val="10.000000"/>
      <color theme="10"/>
      <name val="Arial"/>
    </font>
    <font>
      <sz val="28.000000"/>
      <name val="Libre Barcode 128"/>
    </font>
    <font>
      <u/>
      <sz val="10.000000"/>
      <color rgb="FF0563C1"/>
      <name val="Arial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26"/>
      </patternFill>
    </fill>
  </fills>
  <borders count="12">
    <border>
      <left style="none"/>
      <right style="none"/>
      <top style="none"/>
      <bottom style="none"/>
      <diagonal style="none"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 style="none"/>
    </border>
    <border>
      <left style="thin">
        <color theme="1"/>
      </left>
      <right style="none"/>
      <top style="thin">
        <color theme="1"/>
      </top>
      <bottom style="thin">
        <color theme="1"/>
      </bottom>
      <diagonal style="none"/>
    </border>
    <border>
      <left style="none"/>
      <right style="none"/>
      <top style="thin">
        <color theme="1"/>
      </top>
      <bottom style="thin">
        <color theme="1"/>
      </bottom>
      <diagonal style="none"/>
    </border>
    <border>
      <left style="none"/>
      <right style="thin">
        <color theme="1"/>
      </right>
      <top style="thin">
        <color theme="1"/>
      </top>
      <bottom style="thin">
        <color theme="1"/>
      </bottom>
      <diagonal style="none"/>
    </border>
    <border>
      <left style="thin">
        <color theme="1"/>
      </left>
      <right style="none"/>
      <top style="none"/>
      <bottom style="none"/>
      <diagonal style="none"/>
    </border>
    <border>
      <left style="thin">
        <color theme="1"/>
      </left>
      <right style="thin">
        <color theme="1"/>
      </right>
      <top style="none"/>
      <bottom style="none"/>
      <diagonal style="none"/>
    </border>
    <border>
      <left style="none"/>
      <right style="thin">
        <color theme="1"/>
      </right>
      <top style="none"/>
      <bottom style="none"/>
      <diagonal style="none"/>
    </border>
    <border>
      <left style="thin">
        <color theme="1"/>
      </left>
      <right style="none"/>
      <top style="none"/>
      <bottom style="thin">
        <color theme="1"/>
      </bottom>
      <diagonal style="none"/>
    </border>
    <border>
      <left style="thin">
        <color theme="1"/>
      </left>
      <right style="thin">
        <color theme="1"/>
      </right>
      <top style="none"/>
      <bottom style="thin">
        <color theme="1"/>
      </bottom>
      <diagonal style="none"/>
    </border>
    <border>
      <left style="none"/>
      <right style="thin">
        <color theme="1"/>
      </right>
      <top style="none"/>
      <bottom style="thin">
        <color theme="1"/>
      </bottom>
      <diagonal style="none"/>
    </border>
    <border>
      <left style="none"/>
      <right style="none"/>
      <top style="none"/>
      <bottom style="thin">
        <color theme="1"/>
      </bottom>
      <diagonal style="none"/>
    </border>
  </borders>
  <cellStyleXfs count="6">
    <xf fontId="0" fillId="0" borderId="0" numFmtId="0" applyNumberFormat="1" applyFont="1" applyFill="1" applyBorder="1" applyProtection="1">
      <protection hidden="0" locked="1"/>
    </xf>
    <xf fontId="1" fillId="0" borderId="0" numFmtId="43" applyNumberFormat="1" applyFont="1" applyFill="1" applyBorder="0" applyProtection="0"/>
    <xf fontId="1" fillId="0" borderId="0" numFmtId="41" applyNumberFormat="1" applyFont="1" applyFill="1" applyBorder="0" applyProtection="0"/>
    <xf fontId="1" fillId="0" borderId="0" numFmtId="44" applyNumberFormat="1" applyFont="1" applyFill="1" applyBorder="0" applyProtection="0"/>
    <xf fontId="1" fillId="0" borderId="0" numFmtId="42" applyNumberFormat="1" applyFont="1" applyFill="1" applyBorder="0" applyProtection="0"/>
    <xf fontId="1" fillId="0" borderId="0" numFmtId="9" applyNumberFormat="1" applyFont="1" applyFill="1" applyBorder="0" applyProtection="0"/>
  </cellStyleXfs>
  <cellXfs count="59">
    <xf fontId="0" fillId="0" borderId="0" numFmtId="0" xfId="0" applyProtection="0">
      <protection hidden="0" locked="1"/>
    </xf>
    <xf fontId="0" fillId="0" borderId="0" numFmtId="0" xfId="0" applyProtection="0">
      <protection hidden="0" locked="1"/>
    </xf>
    <xf fontId="2" fillId="0" borderId="0" numFmtId="0" xfId="0" applyFont="1" applyAlignment="1" applyProtection="0">
      <alignment horizontal="left" indent="1"/>
      <protection hidden="0" locked="1"/>
    </xf>
    <xf fontId="1" fillId="2" borderId="0" numFmtId="0" xfId="0" applyFont="1" applyFill="1" applyProtection="0">
      <protection hidden="0" locked="1"/>
    </xf>
    <xf fontId="2" fillId="2" borderId="0" numFmtId="0" xfId="0" applyFont="1" applyFill="1" applyProtection="0">
      <protection hidden="0" locked="1"/>
    </xf>
    <xf fontId="1" fillId="2" borderId="0" numFmtId="0" xfId="0" applyFont="1" applyFill="1" applyAlignment="1" applyProtection="0">
      <alignment horizontal="left" indent="1"/>
      <protection hidden="0" locked="1"/>
    </xf>
    <xf fontId="1" fillId="2" borderId="0" numFmtId="164" xfId="0" applyNumberFormat="1" applyFont="1" applyFill="1" applyProtection="0">
      <protection hidden="0" locked="1"/>
    </xf>
    <xf fontId="1" fillId="2" borderId="0" numFmtId="165" xfId="0" applyNumberFormat="1" applyFont="1" applyFill="1" applyProtection="0">
      <protection hidden="0" locked="1"/>
    </xf>
    <xf fontId="1" fillId="0" borderId="0" numFmtId="0" xfId="0" applyFont="1" applyProtection="0">
      <protection hidden="0" locked="1"/>
    </xf>
    <xf fontId="1" fillId="0" borderId="0" numFmtId="166" xfId="0" applyNumberFormat="1" applyFont="1" applyAlignment="1" applyProtection="0">
      <alignment horizontal="right"/>
      <protection hidden="0" locked="1"/>
    </xf>
    <xf fontId="0" fillId="0" borderId="1" numFmtId="0" xfId="0" applyBorder="1" applyProtection="0">
      <protection hidden="0" locked="1"/>
    </xf>
    <xf fontId="0" fillId="0" borderId="1" numFmtId="167" xfId="0" applyNumberFormat="1" applyBorder="1" applyAlignment="1" applyProtection="0">
      <alignment horizontal="center" vertical="center"/>
      <protection hidden="0" locked="1"/>
    </xf>
    <xf fontId="3" fillId="2" borderId="0" numFmtId="0" xfId="0" applyFont="1" applyFill="1" applyProtection="0">
      <protection hidden="0" locked="1"/>
    </xf>
    <xf fontId="0" fillId="0" borderId="0" numFmtId="0" xfId="0" applyAlignment="1" applyProtection="0">
      <alignment horizontal="right"/>
      <protection hidden="0" locked="1"/>
    </xf>
    <xf fontId="0" fillId="0" borderId="1" numFmtId="1" xfId="0" applyNumberFormat="1" applyBorder="1" applyAlignment="1" applyProtection="0">
      <alignment horizontal="left"/>
      <protection hidden="0" locked="1"/>
    </xf>
    <xf fontId="3" fillId="2" borderId="2" numFmtId="0" xfId="0" applyFont="1" applyFill="1" applyBorder="1" applyProtection="0">
      <protection hidden="0" locked="1"/>
    </xf>
    <xf fontId="1" fillId="2" borderId="3" numFmtId="0" xfId="0" applyFont="1" applyFill="1" applyBorder="1" applyProtection="0">
      <protection hidden="0" locked="1"/>
    </xf>
    <xf fontId="3" fillId="2" borderId="3" numFmtId="0" xfId="0" applyFont="1" applyFill="1" applyBorder="1" applyProtection="0">
      <protection hidden="0" locked="1"/>
    </xf>
    <xf fontId="3" fillId="2" borderId="4" numFmtId="0" xfId="0" applyFont="1" applyFill="1" applyBorder="1" applyProtection="0">
      <protection hidden="0" locked="1"/>
    </xf>
    <xf fontId="1" fillId="2" borderId="5" numFmtId="0" xfId="0" applyFont="1" applyFill="1" applyBorder="1" applyProtection="0">
      <protection hidden="0" locked="1"/>
    </xf>
    <xf fontId="1" fillId="2" borderId="6" numFmtId="0" xfId="0" applyFont="1" applyFill="1" applyBorder="1" applyProtection="0">
      <protection hidden="0" locked="1"/>
    </xf>
    <xf fontId="1" fillId="2" borderId="7" numFmtId="168" xfId="0" applyNumberFormat="1" applyFont="1" applyFill="1" applyBorder="1" applyProtection="0">
      <protection hidden="0" locked="1"/>
    </xf>
    <xf fontId="1" fillId="2" borderId="7" numFmtId="169" xfId="0" applyNumberFormat="1" applyFont="1" applyFill="1" applyBorder="1" applyProtection="0">
      <protection hidden="0" locked="1"/>
    </xf>
    <xf fontId="1" fillId="2" borderId="5" numFmtId="0" xfId="0" applyFont="1" applyFill="1" applyBorder="1" applyAlignment="1" applyProtection="0">
      <alignment horizontal="left"/>
      <protection hidden="0" locked="1"/>
    </xf>
    <xf fontId="1" fillId="2" borderId="8" numFmtId="0" xfId="0" applyFont="1" applyFill="1" applyBorder="1" applyProtection="0">
      <protection hidden="0" locked="1"/>
    </xf>
    <xf fontId="1" fillId="2" borderId="9" numFmtId="0" xfId="0" applyFont="1" applyFill="1" applyBorder="1" applyProtection="0">
      <protection hidden="0" locked="1"/>
    </xf>
    <xf fontId="1" fillId="2" borderId="10" numFmtId="168" xfId="0" applyNumberFormat="1" applyFont="1" applyFill="1" applyBorder="1" applyProtection="0">
      <protection hidden="0" locked="1"/>
    </xf>
    <xf fontId="1" fillId="2" borderId="10" numFmtId="169" xfId="0" applyNumberFormat="1" applyFont="1" applyFill="1" applyBorder="1" applyProtection="0">
      <protection hidden="0" locked="1"/>
    </xf>
    <xf fontId="1" fillId="0" borderId="0" numFmtId="168" xfId="0" applyNumberFormat="1" applyFont="1" applyProtection="0">
      <protection hidden="0" locked="1"/>
    </xf>
    <xf fontId="4" fillId="2" borderId="0" numFmtId="0" xfId="0" applyFont="1" applyFill="1" applyProtection="0">
      <protection hidden="0" locked="1"/>
    </xf>
    <xf fontId="1" fillId="2" borderId="0" numFmtId="168" xfId="0" applyNumberFormat="1" applyFont="1" applyFill="1" applyProtection="0">
      <protection hidden="0" locked="1"/>
    </xf>
    <xf fontId="5" fillId="2" borderId="0" numFmtId="0" xfId="0" applyFont="1" applyFill="1" applyProtection="0">
      <protection hidden="0" locked="1"/>
    </xf>
    <xf fontId="6" fillId="2" borderId="0" numFmtId="0" xfId="0" applyFont="1" applyFill="1" applyProtection="0">
      <protection hidden="0" locked="1"/>
    </xf>
    <xf fontId="6" fillId="2" borderId="0" numFmtId="168" xfId="0" applyNumberFormat="1" applyFont="1" applyFill="1" applyProtection="0">
      <protection hidden="0" locked="1"/>
    </xf>
    <xf fontId="6" fillId="2" borderId="2" numFmtId="0" xfId="0" applyFont="1" applyFill="1" applyBorder="1" applyProtection="0">
      <protection hidden="0" locked="1"/>
    </xf>
    <xf fontId="6" fillId="2" borderId="3" numFmtId="0" xfId="0" applyFont="1" applyFill="1" applyBorder="1" applyProtection="0">
      <protection hidden="0" locked="1"/>
    </xf>
    <xf fontId="6" fillId="2" borderId="4" numFmtId="0" xfId="0" applyFont="1" applyFill="1" applyBorder="1" applyProtection="0">
      <protection hidden="0" locked="1"/>
    </xf>
    <xf fontId="6" fillId="0" borderId="3" numFmtId="0" xfId="0" applyFont="1" applyBorder="1" applyProtection="0">
      <protection hidden="0" locked="1"/>
    </xf>
    <xf fontId="6" fillId="0" borderId="4" numFmtId="0" xfId="0" applyFont="1" applyBorder="1" applyProtection="0">
      <protection hidden="0" locked="1"/>
    </xf>
    <xf fontId="6" fillId="2" borderId="5" numFmtId="0" xfId="0" applyFont="1" applyFill="1" applyBorder="1" applyProtection="0">
      <protection hidden="0" locked="1"/>
    </xf>
    <xf fontId="6" fillId="2" borderId="7" numFmtId="0" xfId="0" applyFont="1" applyFill="1" applyBorder="1" applyProtection="0">
      <protection hidden="0" locked="1"/>
    </xf>
    <xf fontId="6" fillId="0" borderId="0" numFmtId="0" xfId="0" applyFont="1" applyProtection="0">
      <protection hidden="0" locked="1"/>
    </xf>
    <xf fontId="6" fillId="0" borderId="7" numFmtId="0" xfId="0" applyFont="1" applyBorder="1" applyProtection="0">
      <protection hidden="0" locked="1"/>
    </xf>
    <xf fontId="6" fillId="0" borderId="5" numFmtId="0" xfId="0" applyFont="1" applyBorder="1" applyProtection="0">
      <protection hidden="0" locked="1"/>
    </xf>
    <xf fontId="6" fillId="2" borderId="0" numFmtId="0" xfId="0" applyFont="1" applyFill="1" applyAlignment="1" applyProtection="0">
      <alignment horizontal="left" indent="1"/>
      <protection hidden="0" locked="1"/>
    </xf>
    <xf fontId="6" fillId="0" borderId="0" numFmtId="0" xfId="0" applyFont="1" applyAlignment="1" applyProtection="0">
      <alignment horizontal="left" indent="1"/>
      <protection hidden="0" locked="1"/>
    </xf>
    <xf fontId="6" fillId="2" borderId="0" numFmtId="168" xfId="0" applyNumberFormat="1" applyFont="1" applyFill="1" applyAlignment="1" applyProtection="0">
      <alignment horizontal="left"/>
      <protection hidden="0" locked="1"/>
    </xf>
    <xf fontId="6" fillId="2" borderId="8" numFmtId="0" xfId="0" applyFont="1" applyFill="1" applyBorder="1" applyProtection="0">
      <protection hidden="0" locked="1"/>
    </xf>
    <xf fontId="6" fillId="2" borderId="11" numFmtId="0" xfId="0" applyFont="1" applyFill="1" applyBorder="1" applyProtection="0">
      <protection hidden="0" locked="1"/>
    </xf>
    <xf fontId="6" fillId="2" borderId="10" numFmtId="0" xfId="0" applyFont="1" applyFill="1" applyBorder="1" applyProtection="0">
      <protection hidden="0" locked="1"/>
    </xf>
    <xf fontId="6" fillId="0" borderId="11" numFmtId="0" xfId="0" applyFont="1" applyBorder="1" applyProtection="0">
      <protection hidden="0" locked="1"/>
    </xf>
    <xf fontId="1" fillId="2" borderId="0" numFmtId="49" xfId="0" applyNumberFormat="1" applyFont="1" applyFill="1" applyProtection="0">
      <protection hidden="0" locked="1"/>
    </xf>
    <xf fontId="7" fillId="0" borderId="0" numFmtId="0" xfId="0" applyFont="1" applyAlignment="1" applyProtection="0">
      <alignment horizontal="left" vertical="top"/>
      <protection hidden="0" locked="1"/>
    </xf>
    <xf fontId="8" fillId="2" borderId="0" numFmtId="0" xfId="0" applyFont="1" applyFill="1" applyProtection="0">
      <protection hidden="0" locked="1"/>
    </xf>
    <xf fontId="4" fillId="0" borderId="0" numFmtId="0" xfId="0" applyFont="1" applyProtection="0">
      <protection hidden="0" locked="1"/>
    </xf>
    <xf fontId="0" fillId="0" borderId="0" numFmtId="1" xfId="0" applyNumberFormat="1" applyAlignment="1" applyProtection="0">
      <alignment horizontal="right"/>
      <protection hidden="0" locked="1"/>
    </xf>
    <xf fontId="0" fillId="0" borderId="0" numFmtId="0" xfId="0" applyAlignment="1" applyProtection="0">
      <alignment horizontal="left"/>
      <protection hidden="0" locked="1"/>
    </xf>
    <xf fontId="9" fillId="0" borderId="0" numFmtId="0" xfId="0" applyFont="1" applyProtection="0">
      <protection hidden="0" locked="1"/>
    </xf>
    <xf fontId="10" fillId="0" borderId="0" numFmtId="0" xfId="0" applyFont="1" applyProtection="0">
      <protection hidden="0" locked="1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worksheet" Target="worksheets/sheet3.xml"/><Relationship  Id="rId4" Type="http://schemas.openxmlformats.org/officeDocument/2006/relationships/theme" Target="theme/theme1.xml"/><Relationship  Id="rId5" Type="http://schemas.openxmlformats.org/officeDocument/2006/relationships/sharedStrings" Target="sharedStrings.xml"/><Relationship  Id="rId6" Type="http://schemas.openxmlformats.org/officeDocument/2006/relationships/styles" Target="styles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m="http://schemas.openxmlformats.org/officeDocument/2006/math" xmlns:w="http://schemas.openxmlformats.org/wordprocessingml/2006/main">
  <xdr:twoCellAnchor editAs="oneCell">
    <xdr:from>
      <xdr:col>0</xdr:col>
      <xdr:colOff>0</xdr:colOff>
      <xdr:row>0</xdr:row>
      <xdr:rowOff>0</xdr:rowOff>
    </xdr:from>
    <xdr:to>
      <xdr:col>0</xdr:col>
      <xdr:colOff>798840</xdr:colOff>
      <xdr:row>3</xdr:row>
      <xdr:rowOff>200160</xdr:rowOff>
    </xdr:to>
    <xdr:pic>
      <xdr:nvPicPr>
        <xdr:cNvPr id="0" name="Image 1" descr=""/>
        <xdr:cNvPicPr/>
      </xdr:nvPicPr>
      <xdr:blipFill>
        <a:blip r:embed="rId1"/>
        <a:stretch/>
      </xdr:blipFill>
      <xdr:spPr bwMode="auto">
        <a:xfrm>
          <a:off x="0" y="0"/>
          <a:ext cx="798840" cy="800280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hyperlink" Target="mailto:essi.esimerkki@esimerkki.fi" TargetMode="External"/><Relationship  Id="rId2" Type="http://schemas.openxmlformats.org/officeDocument/2006/relationships/drawing" Target="../drawings/drawing1.xml"/></Relationships>
</file>

<file path=xl/worksheets/_rels/sheet3.xml.rels><?xml version="1.0" encoding="UTF-8" standalone="yes"?><Relationships xmlns="http://schemas.openxmlformats.org/package/2006/relationships"><Relationship  Id="rId1" Type="http://schemas.openxmlformats.org/officeDocument/2006/relationships/hyperlink" Target="https://fonts.google.com/specimen/Libre+Barcode+12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filterMode="0">
    <outlinePr applyStyles="0" summaryBelow="1" summaryRight="1" showOutlineSymbols="1"/>
    <pageSetUpPr autoPageBreaks="1" fitToPage="1"/>
  </sheetPr>
  <sheetViews>
    <sheetView showFormulas="0" showGridLines="0" showRowColHeaders="1" showZeros="1" view="normal" zoomScale="110" workbookViewId="0">
      <selection activeCell="C58" activeCellId="0" sqref="C58"/>
    </sheetView>
  </sheetViews>
  <sheetFormatPr defaultColWidth="14.55078125" defaultRowHeight="12.75"/>
  <cols>
    <col customWidth="1" min="1" max="1" style="1" width="12.029999999999999"/>
    <col customWidth="0" min="2" max="8" style="1" width="14.539999999999999"/>
    <col customWidth="1" min="9" max="9" style="1" width="5.7109375"/>
    <col bestFit="1" customWidth="1" min="10" max="10" style="1" width="22.140625"/>
    <col customWidth="1" min="11" max="11" style="1" width="2.7109375"/>
    <col customWidth="1" min="12" max="12" style="1" width="35.57421875"/>
    <col customWidth="1" min="13" max="41" style="1" width="11.42"/>
    <col customWidth="0" min="42" max="1024" style="1" width="14.539999999999999"/>
  </cols>
  <sheetData>
    <row r="1" ht="19.5">
      <c r="A1" s="1"/>
      <c r="B1" s="2" t="s">
        <v>0</v>
      </c>
      <c r="C1" s="3"/>
      <c r="D1" s="3"/>
      <c r="E1" s="4" t="s">
        <v>1</v>
      </c>
      <c r="F1" s="3"/>
      <c r="G1" s="3"/>
      <c r="H1" s="3"/>
    </row>
    <row r="2" ht="15.75" customHeight="1">
      <c r="A2" s="1"/>
      <c r="B2" s="5" t="s">
        <v>2</v>
      </c>
      <c r="C2" s="3"/>
      <c r="D2" s="3"/>
      <c r="F2" s="3"/>
      <c r="G2" s="3"/>
      <c r="H2" s="3"/>
    </row>
    <row r="3" ht="15.75" customHeight="1">
      <c r="A3" s="1"/>
      <c r="B3" s="5" t="s">
        <v>3</v>
      </c>
      <c r="C3" s="3"/>
      <c r="D3" s="3"/>
      <c r="E3" s="3" t="s">
        <v>4</v>
      </c>
      <c r="F3" s="3"/>
      <c r="G3" s="3"/>
      <c r="H3" s="6">
        <f ca="1">TODAY()</f>
        <v>45866</v>
      </c>
      <c r="J3" s="1" t="s">
        <v>5</v>
      </c>
    </row>
    <row r="4" ht="15.75" customHeight="1">
      <c r="A4" s="1"/>
      <c r="B4" s="3"/>
      <c r="C4" s="3"/>
      <c r="D4" s="3"/>
      <c r="E4" s="3" t="s">
        <v>6</v>
      </c>
      <c r="F4" s="3"/>
      <c r="G4" s="3"/>
      <c r="H4" s="6">
        <f ca="1">TODAY()+H6</f>
        <v>45873</v>
      </c>
      <c r="J4" s="1" t="s">
        <v>7</v>
      </c>
    </row>
    <row r="5" ht="15.75" customHeight="1">
      <c r="A5" s="3"/>
      <c r="B5" s="3"/>
      <c r="C5" s="3"/>
      <c r="D5" s="3"/>
      <c r="E5" s="3" t="s">
        <v>8</v>
      </c>
      <c r="F5" s="3"/>
      <c r="G5" s="3"/>
      <c r="H5" s="7">
        <v>0.050000000000000003</v>
      </c>
    </row>
    <row r="6" ht="15.75" customHeight="1">
      <c r="A6" s="3"/>
      <c r="B6" s="3"/>
      <c r="C6" s="3"/>
      <c r="D6" s="3"/>
      <c r="E6" s="8" t="s">
        <v>9</v>
      </c>
      <c r="H6" s="9">
        <v>7</v>
      </c>
      <c r="J6" s="10" t="s">
        <v>10</v>
      </c>
      <c r="K6" s="11" t="s">
        <v>11</v>
      </c>
    </row>
    <row r="7" ht="15.75" customHeight="1">
      <c r="A7" s="3"/>
      <c r="B7" s="3"/>
      <c r="C7" s="3"/>
      <c r="D7" s="3"/>
      <c r="E7" s="3" t="s">
        <v>12</v>
      </c>
      <c r="F7" s="3"/>
      <c r="G7" s="3"/>
      <c r="H7" s="1">
        <v>7</v>
      </c>
      <c r="J7" s="10" t="s">
        <v>13</v>
      </c>
      <c r="K7" s="11"/>
    </row>
    <row r="8" ht="15.75" customHeight="1">
      <c r="A8" s="12" t="s">
        <v>14</v>
      </c>
      <c r="B8" s="3"/>
      <c r="C8" s="3"/>
      <c r="D8" s="3"/>
      <c r="E8" s="3" t="s">
        <v>15</v>
      </c>
      <c r="F8" s="3"/>
      <c r="G8" s="3"/>
      <c r="H8" s="13" t="str">
        <f>TEXT(IF(NOT(ISBLANK(K6)),Viitekaava!B2,IF(NOT(ISBLANK(K7)),Viitekaava!B4,"")),"#")</f>
        <v>71</v>
      </c>
      <c r="J8" s="10" t="s">
        <v>16</v>
      </c>
      <c r="K8" s="11" t="s">
        <v>11</v>
      </c>
    </row>
    <row r="9" ht="15.75" customHeight="1">
      <c r="A9" s="3" t="s">
        <v>17</v>
      </c>
      <c r="B9" s="3"/>
      <c r="C9" s="3"/>
      <c r="D9" s="3"/>
      <c r="F9" s="3"/>
      <c r="G9" s="3"/>
      <c r="H9" s="3"/>
      <c r="J9" s="10" t="s">
        <v>18</v>
      </c>
      <c r="K9" s="11"/>
      <c r="L9" s="14">
        <v>1001</v>
      </c>
    </row>
    <row r="10" ht="15.75" customHeight="1">
      <c r="A10" s="3" t="s">
        <v>19</v>
      </c>
      <c r="B10" s="3"/>
      <c r="C10" s="3"/>
      <c r="D10" s="3"/>
      <c r="F10" s="3"/>
      <c r="G10" s="3"/>
      <c r="H10" s="3"/>
    </row>
    <row r="11" ht="15.75" customHeight="1">
      <c r="A11" s="3" t="s">
        <v>20</v>
      </c>
      <c r="B11" s="3"/>
      <c r="C11" s="3"/>
      <c r="D11" s="3"/>
      <c r="E11" s="12" t="s">
        <v>21</v>
      </c>
      <c r="F11" s="3"/>
      <c r="G11" s="3"/>
      <c r="H11" s="3"/>
    </row>
    <row r="12" ht="15.75" customHeight="1">
      <c r="B12" s="3"/>
      <c r="C12" s="3"/>
      <c r="D12" s="3"/>
      <c r="E12" s="3" t="s">
        <v>22</v>
      </c>
      <c r="F12" s="3"/>
      <c r="G12" s="3"/>
      <c r="H12" s="3"/>
    </row>
    <row r="13" ht="15.75" customHeight="1">
      <c r="A13" s="3"/>
      <c r="B13" s="3"/>
      <c r="C13" s="3"/>
      <c r="D13" s="3"/>
      <c r="E13" s="3"/>
      <c r="F13" s="3"/>
      <c r="G13" s="3"/>
      <c r="H13" s="3"/>
    </row>
    <row r="14" ht="15.75" customHeight="1">
      <c r="A14" s="15" t="s">
        <v>23</v>
      </c>
      <c r="B14" s="16"/>
      <c r="C14" s="17" t="s">
        <v>24</v>
      </c>
      <c r="D14" s="17" t="s">
        <v>25</v>
      </c>
      <c r="E14" s="17" t="s">
        <v>26</v>
      </c>
      <c r="F14" s="17" t="s">
        <v>27</v>
      </c>
      <c r="G14" s="17" t="s">
        <v>28</v>
      </c>
      <c r="H14" s="18" t="s">
        <v>29</v>
      </c>
    </row>
    <row r="15" ht="15.75" customHeight="1">
      <c r="A15" s="19" t="s">
        <v>30</v>
      </c>
      <c r="B15" s="19"/>
      <c r="C15" s="20">
        <v>5</v>
      </c>
      <c r="D15" s="20" t="s">
        <v>31</v>
      </c>
      <c r="E15" s="21">
        <v>60</v>
      </c>
      <c r="F15" s="22">
        <v>0</v>
      </c>
      <c r="G15" s="21">
        <f t="shared" ref="G15:G17" si="0">E15*F15*C15</f>
        <v>0</v>
      </c>
      <c r="H15" s="21">
        <f t="shared" ref="H15:H17" si="1">C15*E15+G15</f>
        <v>300</v>
      </c>
    </row>
    <row r="16" ht="15.75" customHeight="1">
      <c r="A16" s="23" t="s">
        <v>32</v>
      </c>
      <c r="B16" s="23"/>
      <c r="C16" s="20">
        <v>218</v>
      </c>
      <c r="D16" s="20" t="s">
        <v>33</v>
      </c>
      <c r="E16" s="21">
        <v>0.58999999999999997</v>
      </c>
      <c r="F16" s="22">
        <v>0</v>
      </c>
      <c r="G16" s="21">
        <f t="shared" si="0"/>
        <v>0</v>
      </c>
      <c r="H16" s="21">
        <f t="shared" si="1"/>
        <v>128.62</v>
      </c>
    </row>
    <row r="17" ht="15.75" customHeight="1">
      <c r="A17" s="23" t="s">
        <v>34</v>
      </c>
      <c r="B17" s="23"/>
      <c r="C17" s="20">
        <v>1</v>
      </c>
      <c r="D17" s="20" t="s">
        <v>35</v>
      </c>
      <c r="E17" s="21">
        <v>10</v>
      </c>
      <c r="F17" s="22">
        <v>0</v>
      </c>
      <c r="G17" s="21">
        <f t="shared" si="0"/>
        <v>0</v>
      </c>
      <c r="H17" s="21">
        <f t="shared" si="1"/>
        <v>10</v>
      </c>
    </row>
    <row r="18" ht="15.75" customHeight="1">
      <c r="A18" s="19"/>
      <c r="B18" s="19"/>
      <c r="C18" s="20"/>
      <c r="D18" s="20"/>
      <c r="E18" s="21"/>
      <c r="F18" s="22"/>
      <c r="G18" s="21"/>
      <c r="H18" s="21"/>
    </row>
    <row r="19" ht="15.75" customHeight="1">
      <c r="A19" s="19"/>
      <c r="B19" s="19"/>
      <c r="C19" s="20"/>
      <c r="D19" s="20"/>
      <c r="E19" s="21"/>
      <c r="F19" s="22"/>
      <c r="G19" s="21"/>
      <c r="H19" s="21"/>
    </row>
    <row r="20" ht="15.75" customHeight="1">
      <c r="A20" s="19"/>
      <c r="B20" s="19"/>
      <c r="C20" s="20"/>
      <c r="D20" s="20"/>
      <c r="E20" s="21"/>
      <c r="F20" s="22"/>
      <c r="G20" s="21"/>
      <c r="H20" s="21"/>
    </row>
    <row r="21" ht="15.75" customHeight="1">
      <c r="A21" s="19"/>
      <c r="B21" s="19"/>
      <c r="C21" s="20"/>
      <c r="D21" s="20"/>
      <c r="E21" s="21"/>
      <c r="F21" s="22"/>
      <c r="G21" s="21"/>
      <c r="H21" s="21"/>
    </row>
    <row r="22" ht="15.75" customHeight="1">
      <c r="A22" s="19"/>
      <c r="B22" s="19"/>
      <c r="C22" s="20"/>
      <c r="D22" s="20"/>
      <c r="E22" s="21"/>
      <c r="F22" s="22"/>
      <c r="G22" s="21"/>
      <c r="H22" s="21"/>
    </row>
    <row r="23" ht="15.75" customHeight="1">
      <c r="A23" s="19"/>
      <c r="B23" s="19"/>
      <c r="C23" s="20"/>
      <c r="D23" s="20"/>
      <c r="E23" s="21"/>
      <c r="F23" s="22"/>
      <c r="G23" s="21"/>
      <c r="H23" s="21"/>
    </row>
    <row r="24" ht="15.75" customHeight="1">
      <c r="A24" s="19"/>
      <c r="B24" s="19"/>
      <c r="C24" s="20"/>
      <c r="D24" s="20"/>
      <c r="E24" s="21"/>
      <c r="F24" s="22"/>
      <c r="G24" s="21"/>
      <c r="H24" s="21"/>
    </row>
    <row r="25" ht="15.75" customHeight="1">
      <c r="A25" s="19"/>
      <c r="B25" s="19"/>
      <c r="C25" s="20"/>
      <c r="D25" s="20"/>
      <c r="E25" s="21"/>
      <c r="F25" s="22"/>
      <c r="G25" s="21"/>
      <c r="H25" s="21"/>
    </row>
    <row r="26" ht="15.75" customHeight="1">
      <c r="A26" s="19"/>
      <c r="B26" s="19"/>
      <c r="C26" s="20"/>
      <c r="D26" s="20"/>
      <c r="E26" s="21"/>
      <c r="F26" s="22"/>
      <c r="G26" s="21"/>
      <c r="H26" s="21"/>
    </row>
    <row r="27" ht="15.75" customHeight="1">
      <c r="A27" s="19"/>
      <c r="B27" s="19"/>
      <c r="C27" s="20"/>
      <c r="D27" s="20"/>
      <c r="E27" s="21"/>
      <c r="F27" s="22"/>
      <c r="G27" s="21"/>
      <c r="H27" s="21"/>
    </row>
    <row r="28" ht="15.75" customHeight="1">
      <c r="A28" s="19"/>
      <c r="B28" s="19"/>
      <c r="C28" s="20"/>
      <c r="D28" s="20"/>
      <c r="E28" s="21"/>
      <c r="F28" s="22"/>
      <c r="G28" s="21"/>
      <c r="H28" s="21"/>
    </row>
    <row r="29" ht="15.75" customHeight="1">
      <c r="A29" s="19"/>
      <c r="B29" s="19"/>
      <c r="C29" s="20"/>
      <c r="D29" s="20"/>
      <c r="E29" s="21"/>
      <c r="F29" s="22"/>
      <c r="G29" s="21"/>
      <c r="H29" s="21"/>
    </row>
    <row r="30" ht="15.75" customHeight="1">
      <c r="A30" s="19"/>
      <c r="B30" s="19"/>
      <c r="C30" s="20"/>
      <c r="D30" s="20"/>
      <c r="E30" s="21"/>
      <c r="F30" s="22"/>
      <c r="G30" s="21"/>
      <c r="H30" s="21"/>
    </row>
    <row r="31" ht="15.75" customHeight="1">
      <c r="A31" s="19"/>
      <c r="B31" s="19"/>
      <c r="C31" s="20"/>
      <c r="D31" s="20"/>
      <c r="E31" s="21"/>
      <c r="F31" s="22"/>
      <c r="G31" s="21"/>
      <c r="H31" s="21"/>
    </row>
    <row r="32" ht="15.75" customHeight="1">
      <c r="A32" s="19"/>
      <c r="B32" s="19"/>
      <c r="C32" s="20"/>
      <c r="D32" s="20"/>
      <c r="E32" s="21"/>
      <c r="F32" s="22"/>
      <c r="G32" s="21"/>
      <c r="H32" s="21"/>
    </row>
    <row r="33" ht="15.75" customHeight="1">
      <c r="A33" s="19"/>
      <c r="B33" s="19"/>
      <c r="C33" s="20"/>
      <c r="D33" s="20"/>
      <c r="E33" s="21"/>
      <c r="F33" s="22"/>
      <c r="G33" s="21"/>
      <c r="H33" s="21"/>
    </row>
    <row r="34" ht="15.75" customHeight="1">
      <c r="A34" s="19"/>
      <c r="B34" s="19"/>
      <c r="C34" s="20"/>
      <c r="D34" s="20"/>
      <c r="E34" s="21"/>
      <c r="F34" s="22"/>
      <c r="G34" s="21"/>
      <c r="H34" s="21"/>
    </row>
    <row r="35" ht="15.75" customHeight="1">
      <c r="A35" s="19"/>
      <c r="B35" s="19"/>
      <c r="C35" s="20"/>
      <c r="D35" s="20"/>
      <c r="E35" s="21"/>
      <c r="F35" s="22"/>
      <c r="G35" s="21"/>
      <c r="H35" s="21"/>
    </row>
    <row r="36" ht="15.75" customHeight="1">
      <c r="A36" s="19"/>
      <c r="B36" s="19"/>
      <c r="C36" s="20"/>
      <c r="D36" s="20"/>
      <c r="E36" s="21"/>
      <c r="F36" s="22"/>
      <c r="G36" s="21"/>
      <c r="H36" s="21"/>
    </row>
    <row r="37" ht="15.75" customHeight="1">
      <c r="A37" s="24"/>
      <c r="B37" s="24"/>
      <c r="C37" s="25"/>
      <c r="D37" s="25"/>
      <c r="E37" s="26"/>
      <c r="F37" s="27"/>
      <c r="G37" s="26"/>
      <c r="H37" s="26"/>
    </row>
    <row r="38" ht="15.75" customHeight="1">
      <c r="A38" s="3"/>
      <c r="B38" s="3"/>
      <c r="C38" s="3"/>
      <c r="D38" s="3"/>
      <c r="E38" s="3"/>
      <c r="F38" s="3"/>
      <c r="G38" s="3"/>
      <c r="H38" s="3"/>
    </row>
    <row r="39" ht="15.75" customHeight="1">
      <c r="A39" s="12"/>
      <c r="B39" s="3"/>
      <c r="C39" s="3"/>
      <c r="D39" s="3"/>
      <c r="E39" s="3"/>
      <c r="F39" s="12" t="s">
        <v>36</v>
      </c>
      <c r="G39" s="3"/>
      <c r="H39" s="28">
        <f>(H15-G15)+(H16-G16)+(H17-G17)+(H18-G18)+(H19-G19)+(H20-G20)+(H21-G21)+(H22-G22)+(H23-G23)+(H24-G24)+(H25-G25)+(H26-G26)+(H27-G27)+(H28-G28)+(H29-G29)+(H30-G30)+(H31-G31)+(H32-G32)+(H33-G33)+(H34-G34)+(H35-G35)+(H36-G36)+(H37-G37)</f>
        <v>438.62</v>
      </c>
    </row>
    <row r="40" ht="15.75" customHeight="1">
      <c r="A40" s="29"/>
      <c r="B40" s="3"/>
      <c r="C40" s="3"/>
      <c r="D40" s="3"/>
      <c r="E40" s="3"/>
      <c r="F40" s="12" t="s">
        <v>37</v>
      </c>
      <c r="G40" s="3"/>
      <c r="H40" s="30">
        <f>SUM(G15:G37)</f>
        <v>0</v>
      </c>
    </row>
    <row r="41" ht="15.75" customHeight="1">
      <c r="A41" s="3"/>
      <c r="B41" s="3"/>
      <c r="C41" s="3"/>
      <c r="D41" s="3"/>
      <c r="E41" s="3"/>
      <c r="F41" s="3"/>
      <c r="G41" s="3"/>
      <c r="H41" s="3"/>
    </row>
    <row r="42" ht="15.75" customHeight="1">
      <c r="A42" s="3"/>
      <c r="B42" s="3"/>
      <c r="C42" s="3"/>
      <c r="D42" s="3"/>
      <c r="E42" s="3"/>
      <c r="F42" s="31" t="s">
        <v>38</v>
      </c>
      <c r="G42" s="32"/>
      <c r="H42" s="33">
        <f>SUM(H15:H37)</f>
        <v>438.62</v>
      </c>
    </row>
    <row r="43" ht="15.75" customHeight="1">
      <c r="A43" s="3"/>
      <c r="B43" s="3"/>
      <c r="C43" s="3"/>
      <c r="D43" s="3"/>
      <c r="E43" s="3"/>
      <c r="F43" s="3"/>
      <c r="G43" s="3"/>
      <c r="H43" s="3"/>
    </row>
    <row r="44" ht="15.75" customHeight="1">
      <c r="A44" s="3"/>
      <c r="B44" s="3"/>
      <c r="C44" s="3"/>
      <c r="D44" s="3"/>
      <c r="E44" s="3"/>
    </row>
    <row r="45" ht="15.75" customHeight="1">
      <c r="A45" s="34" t="s">
        <v>39</v>
      </c>
      <c r="B45" s="35"/>
      <c r="C45" s="36"/>
      <c r="D45" s="35" t="s">
        <v>40</v>
      </c>
      <c r="E45" s="35"/>
      <c r="F45" s="37"/>
      <c r="G45" s="37"/>
      <c r="H45" s="38"/>
    </row>
    <row r="46" ht="15.75" customHeight="1">
      <c r="A46" s="39"/>
      <c r="B46" s="32"/>
      <c r="C46" s="40"/>
      <c r="D46" s="32"/>
      <c r="E46" s="32"/>
      <c r="F46" s="41"/>
      <c r="G46" s="41"/>
      <c r="H46" s="42"/>
    </row>
    <row r="47" ht="15.75" customHeight="1">
      <c r="A47" s="43" t="s">
        <v>41</v>
      </c>
      <c r="B47" s="44" t="s">
        <v>0</v>
      </c>
      <c r="C47" s="40"/>
      <c r="D47" s="32" t="s">
        <v>42</v>
      </c>
      <c r="E47" s="32" t="str">
        <f>H8</f>
        <v>71</v>
      </c>
      <c r="F47" s="41"/>
      <c r="G47" s="41"/>
      <c r="H47" s="42"/>
    </row>
    <row r="48" ht="15.75" customHeight="1">
      <c r="A48" s="43" t="s">
        <v>43</v>
      </c>
      <c r="B48" s="45" t="s">
        <v>44</v>
      </c>
      <c r="C48" s="40"/>
      <c r="D48" s="32" t="s">
        <v>45</v>
      </c>
      <c r="E48" s="46">
        <f>H42</f>
        <v>438.62</v>
      </c>
      <c r="F48" s="41"/>
      <c r="G48" s="41"/>
      <c r="H48" s="42"/>
    </row>
    <row r="49" ht="15.75" customHeight="1">
      <c r="A49" s="39" t="s">
        <v>46</v>
      </c>
      <c r="B49" s="44" t="s">
        <v>47</v>
      </c>
      <c r="C49" s="40"/>
      <c r="D49" s="32"/>
      <c r="E49" s="32"/>
      <c r="F49" s="41"/>
      <c r="G49" s="41"/>
      <c r="H49" s="42"/>
    </row>
    <row r="50" ht="15.75" customHeight="1">
      <c r="A50" s="47"/>
      <c r="B50" s="48"/>
      <c r="C50" s="49"/>
      <c r="D50" s="48"/>
      <c r="E50" s="48"/>
      <c r="F50" s="50"/>
      <c r="G50" s="48"/>
      <c r="H50" s="49"/>
    </row>
    <row r="51" ht="15.75" customHeight="1">
      <c r="A51" s="51"/>
      <c r="B51" s="3"/>
      <c r="C51" s="3"/>
      <c r="D51" s="3"/>
      <c r="E51" s="3"/>
      <c r="G51" s="3"/>
      <c r="H51" s="3"/>
    </row>
    <row r="52" ht="36" customHeight="1">
      <c r="B52" s="52" t="str">
        <f>Koodikaava!B12</f>
        <v>ÍK{?iRÂj{zÂKv4ÂÂÂÂÂÂÂÂÂÂg9($/Î</v>
      </c>
      <c r="C52" s="52"/>
      <c r="D52" s="52"/>
      <c r="E52" s="52"/>
      <c r="F52" s="52"/>
      <c r="G52" s="52"/>
      <c r="H52" s="8"/>
    </row>
    <row r="53" ht="15.75" customHeight="1">
      <c r="A53" s="12" t="s">
        <v>0</v>
      </c>
      <c r="B53" s="3"/>
      <c r="C53" s="3"/>
      <c r="D53" s="3" t="s">
        <v>48</v>
      </c>
      <c r="G53" s="1" t="s">
        <v>49</v>
      </c>
    </row>
    <row r="54" ht="15.75" customHeight="1">
      <c r="A54" s="3" t="s">
        <v>2</v>
      </c>
      <c r="B54" s="3"/>
      <c r="C54" s="3"/>
      <c r="D54" s="3" t="s">
        <v>50</v>
      </c>
      <c r="E54" s="3"/>
      <c r="F54" s="3"/>
      <c r="G54" s="3"/>
      <c r="H54" s="3"/>
    </row>
    <row r="55" ht="15.75" customHeight="1">
      <c r="A55" s="3" t="s">
        <v>3</v>
      </c>
      <c r="B55" s="3"/>
      <c r="C55" s="3"/>
      <c r="D55" s="53" t="s">
        <v>51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</sheetData>
  <mergeCells count="25">
    <mergeCell ref="A1:A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B52:G52"/>
  </mergeCells>
  <hyperlinks>
    <hyperlink r:id="rId1" ref="D55"/>
  </hyperlinks>
  <printOptions headings="0" gridLines="0" horizontalCentered="0" verticalCentered="0"/>
  <pageMargins left="0.70078740157480324" right="0.70078740157480324" top="0.75196850393700787" bottom="0.75196850393700787" header="0.51181102362204689" footer="0.51181102362204689"/>
  <pageSetup paperSize="9" scale="79" firstPageNumber="1" fitToWidth="1" fitToHeight="1" pageOrder="downThenOver" orientation="portrait" usePrinterDefaults="1" blackAndWhite="0" draft="0" cellComments="none" useFirstPageNumber="1" errors="displayed" horizontalDpi="300" verticalDpi="300" copies="1"/>
  <headerFooter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uplicateValues" priority="2" id="{008300AF-007C-4E88-BE6E-003800B600FB}">
            <x14:dxf>
              <font>
                <color rgb="FF9C0006"/>
              </font>
              <fill>
                <patternFill patternType="solid">
                  <fgColor rgb="FFFFC7CE"/>
                  <bgColor rgb="FFFFC7CE"/>
                </patternFill>
              </fill>
            </x14:dxf>
          </x14:cfRule>
          <xm:sqref>K6:K7</xm:sqref>
        </x14:conditionalFormatting>
        <x14:conditionalFormatting xmlns:xm="http://schemas.microsoft.com/office/excel/2006/main">
          <x14:cfRule type="duplicateValues" priority="1" id="{00180003-00CA-4C5B-AA0C-009D00990041}">
            <x14:dxf>
              <font>
                <color rgb="FF9C0006"/>
              </font>
              <fill>
                <patternFill patternType="solid">
                  <fgColor rgb="FFFFC7CE"/>
                  <bgColor rgb="FFFFC7CE"/>
                </patternFill>
              </fill>
            </x14:dxf>
          </x14:cfRule>
          <xm:sqref>K8:K9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 disablePrompts="0">
        <x14:dataValidation xr:uid="{000E008D-0024-4A27-A8C3-0000008B009B}" type="custom" allowBlank="1" error="Käytä rastia valinnan merkkaamiseksi" errorStyle="stop" imeMode="noControl" operator="between" prompt="Käytä rastia valinnan merkkaamiseksi" promptTitle="" showDropDown="0" showErrorMessage="1" showInputMessage="1">
          <x14:formula1>
            <xm:f>OR(K6="x",K6="X")</xm:f>
          </x14:formula1>
          <xm:sqref>K6:K9</xm:sqref>
        </x14:dataValidation>
        <x14:dataValidation xr:uid="{00970007-0014-4E9C-B7A1-0024005B00F0}" type="custom" allowBlank="1" error="Viite saa olla maksimissaan 19 merkkiä pitkä ja sisältää vain numeroita" errorStyle="stop" imeMode="noControl" operator="between" prompt="Viitenumero ilman tarkistetta - tarkiste lasketaan automaattisesti" promptTitle="" showDropDown="0" showErrorMessage="1" showInputMessage="1">
          <x14:formula1>
            <xm:f>AND(LEN($L$9)&lt;20,ISNUMBER($L$9))</xm:f>
          </x14:formula1>
          <x14:formula2>
            <xm:f>19</xm:f>
          </x14:formula2>
          <xm:sqref>L9</xm:sqref>
        </x14:dataValidation>
        <x14:dataValidation xr:uid="{00FD00D5-004F-46BC-BCF3-00A0003F00CA}" type="custom" allowBlank="1" errorStyle="stop" imeMode="noControl" operator="between" showDropDown="0" showErrorMessage="1" showInputMessage="1">
          <x14:formula1>
            <xm:f>ISNUMBER($H$7)</xm:f>
          </x14:formula1>
          <x14:formula2>
            <xm:f>""</xm:f>
          </x14:formula2>
          <xm:sqref>H7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selection activeCell="A1" activeCellId="0" sqref="A1"/>
    </sheetView>
  </sheetViews>
  <sheetFormatPr defaultRowHeight="12.75"/>
  <cols>
    <col bestFit="1" min="1" max="1" width="15.3828125"/>
    <col customWidth="1" min="2" max="2" width="27.7109375"/>
  </cols>
  <sheetData>
    <row r="1" ht="12.75">
      <c r="A1" s="54" t="s">
        <v>52</v>
      </c>
      <c r="B1" s="55">
        <f>IF(NOT(ISBLANK(Lasku!K8)),Lasku!H7,IF(NOT(ISBLANK(Lasku!K9)),Lasku!L9,NA()))</f>
        <v>7</v>
      </c>
    </row>
    <row r="2" ht="12.75">
      <c r="A2" s="54" t="s">
        <v>53</v>
      </c>
      <c r="B2" s="55">
        <f>IF(ISNUMBER(B1),(10*B1+RIGHT(10-RIGHT(7*MID(10000000000+B1,2,1)+1*MID(10000000000+B1,3,1)+3*MID(10000000000+B1,4,1)+(7*MID(10000000000+B1,5,1))+(1*MID(10000000000+B1,6,1))+(3*MID(10000000000+B1,7,1))+(7*MID(10000000000+B1,8,1))+(1*MID(10000000000+B1,9,1))+(3*MID(10000000000+B1,10,1))+(7*MID(10000000000+B1,11,1)),1),1)),"")</f>
        <v>71</v>
      </c>
    </row>
    <row r="3" ht="12.75">
      <c r="A3" s="54" t="s">
        <v>54</v>
      </c>
      <c r="B3" s="13">
        <f>(98-MOD(B2*1000000+271500,97))</f>
        <v>27</v>
      </c>
    </row>
    <row r="4" ht="12.75">
      <c r="A4" s="54" t="s">
        <v>55</v>
      </c>
      <c r="B4" s="13" t="str">
        <f>"RF"&amp;IF(B3&lt;10,"0","")&amp;B3&amp;B2</f>
        <v>RF2771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filterMode="0">
    <outlinePr applyStyles="0" summaryBelow="1" summaryRight="1" showOutlineSymbols="1"/>
    <pageSetUpPr autoPageBreaks="1" fitToPage="0"/>
  </sheetPr>
  <sheetViews>
    <sheetView showFormulas="0" showGridLines="1" showRowColHeaders="1" showZeros="1" view="normal" zoomScale="100" workbookViewId="0">
      <selection activeCell="F19" activeCellId="0" sqref="F19"/>
    </sheetView>
  </sheetViews>
  <sheetFormatPr defaultColWidth="8.48828125" defaultRowHeight="12.75"/>
  <cols>
    <col customWidth="1" min="1" max="1" style="1" width="10.710000000000001"/>
    <col customWidth="1" min="2" max="2" style="1" width="3.71"/>
    <col customWidth="1" min="3" max="30" style="56" width="3.71"/>
    <col customWidth="0" min="31" max="1024" style="1" width="8.4800000000000004"/>
  </cols>
  <sheetData>
    <row r="1" ht="12.75">
      <c r="A1" s="54" t="s">
        <v>56</v>
      </c>
      <c r="B1" s="56" t="str">
        <f>RIGHT(SUBSTITUTE(Lasku!B48," ",""),16)</f>
        <v>3913173500074919</v>
      </c>
    </row>
    <row r="2" ht="12.75">
      <c r="A2" s="54" t="s">
        <v>57</v>
      </c>
      <c r="B2" s="56" t="str">
        <f>IF(AND(Lasku!E48&gt;0,Lasku!E48&lt;9999.99),CONCATENATE(REPT("0",6-LEN(TRUNC(Lasku!E48))),TRUNC(Lasku!E48),TRUNC((Lasku!E48-TRUNC(Lasku!E48))*100)),"00000000")</f>
        <v>00043862</v>
      </c>
    </row>
    <row r="3" ht="12.75">
      <c r="A3" s="54" t="s">
        <v>58</v>
      </c>
      <c r="B3" s="56" t="str">
        <f>IF(LEFT(Lasku!E47,2)="RF",REPT("0",25-LEN(Lasku!E47))&amp;MID(Lasku!E47,5,21),REPT("0",20-LEN(Lasku!E47))&amp;Lasku!E47)</f>
        <v>00000000000000000071</v>
      </c>
    </row>
    <row r="4" ht="12.75">
      <c r="A4" s="54" t="s">
        <v>59</v>
      </c>
      <c r="B4" s="56" t="str">
        <f>RIGHT(YEAR(Lasku!H4),2)&amp;REPT("0",2-LEN(MONTH(Lasku!H4)))&amp;MONTH(Lasku!H4)&amp;REPT("0",2-LEN(DAY(Lasku!H4)))&amp;DAY(Lasku!H4)</f>
        <v>250804</v>
      </c>
    </row>
    <row r="5" ht="12.75">
      <c r="A5" s="54" t="s">
        <v>60</v>
      </c>
      <c r="B5" s="1" t="str">
        <f>CONCATENATE(IF(LEFT(Lasku!E47,2)="RF","5","4"),B1,B2,IF(LEFT(Lasku!E47,2)="RF",MID(Lasku!E47,3,2),"000"),B3,B4)</f>
        <v>439131735000749190004386200000000000000000000071250804</v>
      </c>
    </row>
    <row r="6" ht="12.75">
      <c r="A6" s="54"/>
      <c r="C6" s="56">
        <v>1</v>
      </c>
      <c r="D6" s="56">
        <v>2</v>
      </c>
      <c r="E6" s="56">
        <v>3</v>
      </c>
      <c r="F6" s="56">
        <v>4</v>
      </c>
      <c r="G6" s="56">
        <v>5</v>
      </c>
      <c r="H6" s="56">
        <v>6</v>
      </c>
      <c r="I6" s="56">
        <v>7</v>
      </c>
      <c r="J6" s="56">
        <v>8</v>
      </c>
      <c r="K6" s="56">
        <v>9</v>
      </c>
      <c r="L6" s="56">
        <v>10</v>
      </c>
      <c r="M6" s="56">
        <v>11</v>
      </c>
      <c r="N6" s="56">
        <v>12</v>
      </c>
      <c r="O6" s="56">
        <v>13</v>
      </c>
      <c r="P6" s="56">
        <v>14</v>
      </c>
      <c r="Q6" s="56">
        <v>15</v>
      </c>
      <c r="R6" s="56">
        <v>16</v>
      </c>
      <c r="S6" s="56">
        <v>17</v>
      </c>
      <c r="T6" s="56">
        <v>18</v>
      </c>
      <c r="U6" s="56">
        <v>19</v>
      </c>
      <c r="V6" s="56">
        <v>20</v>
      </c>
      <c r="W6" s="56">
        <v>21</v>
      </c>
      <c r="X6" s="56">
        <v>22</v>
      </c>
      <c r="Y6" s="56">
        <v>23</v>
      </c>
      <c r="Z6" s="56">
        <v>24</v>
      </c>
      <c r="AA6" s="56">
        <v>25</v>
      </c>
      <c r="AB6" s="56">
        <v>26</v>
      </c>
      <c r="AC6" s="56">
        <v>27</v>
      </c>
    </row>
    <row r="7" ht="12.75">
      <c r="C7" s="56">
        <v>1</v>
      </c>
      <c r="D7" s="56">
        <v>3</v>
      </c>
      <c r="E7" s="56">
        <v>5</v>
      </c>
      <c r="F7" s="56">
        <v>7</v>
      </c>
      <c r="G7" s="56">
        <v>9</v>
      </c>
      <c r="H7" s="56">
        <v>11</v>
      </c>
      <c r="I7" s="56">
        <v>13</v>
      </c>
      <c r="J7" s="56">
        <v>15</v>
      </c>
      <c r="K7" s="56">
        <v>17</v>
      </c>
      <c r="L7" s="56">
        <v>19</v>
      </c>
      <c r="M7" s="56">
        <v>21</v>
      </c>
      <c r="N7" s="56">
        <v>23</v>
      </c>
      <c r="O7" s="56">
        <v>25</v>
      </c>
      <c r="P7" s="56">
        <v>27</v>
      </c>
      <c r="Q7" s="56">
        <v>29</v>
      </c>
      <c r="R7" s="56">
        <v>31</v>
      </c>
      <c r="S7" s="56">
        <v>33</v>
      </c>
      <c r="T7" s="56">
        <v>35</v>
      </c>
      <c r="U7" s="56">
        <v>37</v>
      </c>
      <c r="V7" s="56">
        <v>39</v>
      </c>
      <c r="W7" s="56">
        <v>41</v>
      </c>
      <c r="X7" s="56">
        <v>43</v>
      </c>
      <c r="Y7" s="56">
        <v>45</v>
      </c>
      <c r="Z7" s="56">
        <v>47</v>
      </c>
      <c r="AA7" s="56">
        <v>49</v>
      </c>
      <c r="AB7" s="56">
        <v>51</v>
      </c>
      <c r="AC7" s="56">
        <v>53</v>
      </c>
    </row>
    <row r="8" ht="12.75">
      <c r="B8" s="56">
        <v>105</v>
      </c>
      <c r="C8" s="56" t="str">
        <f>MID($B$5,C7,2)</f>
        <v>43</v>
      </c>
      <c r="D8" s="56" t="str">
        <f>MID($B$5,D7,2)</f>
        <v>91</v>
      </c>
      <c r="E8" s="56" t="str">
        <f>MID($B$5,E7,2)</f>
        <v>31</v>
      </c>
      <c r="F8" s="56" t="str">
        <f>MID($B$5,F7,2)</f>
        <v>73</v>
      </c>
      <c r="G8" s="56" t="str">
        <f>MID($B$5,G7,2)</f>
        <v>50</v>
      </c>
      <c r="H8" s="56" t="str">
        <f>MID($B$5,H7,2)</f>
        <v>00</v>
      </c>
      <c r="I8" s="56" t="str">
        <f>MID($B$5,I7,2)</f>
        <v>74</v>
      </c>
      <c r="J8" s="56" t="str">
        <f>MID($B$5,J7,2)</f>
        <v>91</v>
      </c>
      <c r="K8" s="56" t="str">
        <f>MID($B$5,K7,2)</f>
        <v>90</v>
      </c>
      <c r="L8" s="56" t="str">
        <f>MID($B$5,L7,2)</f>
        <v>00</v>
      </c>
      <c r="M8" s="56" t="str">
        <f>MID($B$5,M7,2)</f>
        <v>43</v>
      </c>
      <c r="N8" s="56" t="str">
        <f>MID($B$5,N7,2)</f>
        <v>86</v>
      </c>
      <c r="O8" s="56" t="str">
        <f>MID($B$5,O7,2)</f>
        <v>20</v>
      </c>
      <c r="P8" s="56" t="str">
        <f>MID($B$5,P7,2)</f>
        <v>00</v>
      </c>
      <c r="Q8" s="56" t="str">
        <f>MID($B$5,Q7,2)</f>
        <v>00</v>
      </c>
      <c r="R8" s="56" t="str">
        <f>MID($B$5,R7,2)</f>
        <v>00</v>
      </c>
      <c r="S8" s="56" t="str">
        <f>MID($B$5,S7,2)</f>
        <v>00</v>
      </c>
      <c r="T8" s="56" t="str">
        <f>MID($B$5,T7,2)</f>
        <v>00</v>
      </c>
      <c r="U8" s="56" t="str">
        <f>MID($B$5,U7,2)</f>
        <v>00</v>
      </c>
      <c r="V8" s="56" t="str">
        <f>MID($B$5,V7,2)</f>
        <v>00</v>
      </c>
      <c r="W8" s="56" t="str">
        <f>MID($B$5,W7,2)</f>
        <v>00</v>
      </c>
      <c r="X8" s="56" t="str">
        <f>MID($B$5,X7,2)</f>
        <v>00</v>
      </c>
      <c r="Y8" s="56" t="str">
        <f>MID($B$5,Y7,2)</f>
        <v>00</v>
      </c>
      <c r="Z8" s="56" t="str">
        <f>MID($B$5,Z7,2)</f>
        <v>71</v>
      </c>
      <c r="AA8" s="56" t="str">
        <f>MID($B$5,AA7,2)</f>
        <v>25</v>
      </c>
      <c r="AB8" s="56" t="str">
        <f>MID($B$5,AB7,2)</f>
        <v>08</v>
      </c>
      <c r="AC8" s="56" t="str">
        <f>MID($B$5,AC7,2)</f>
        <v>04</v>
      </c>
      <c r="AD8" s="56">
        <f>MOD(B8+SUMPRODUCT(C6:AC6,C8:AC8),103)</f>
        <v>15</v>
      </c>
    </row>
    <row r="9" ht="12.75">
      <c r="B9" s="56">
        <f>IF(VALUE(B8)=0,194,IF(VALUE(B8)&lt;95,B8+32,B8+100))</f>
        <v>205</v>
      </c>
      <c r="C9" s="56">
        <f>IF(VALUE(C8)=0,194,IF(VALUE(C8)&lt;95,C8+32,C8+100))</f>
        <v>75</v>
      </c>
      <c r="D9" s="56">
        <f>IF(VALUE(D8)=0,194,IF(VALUE(D8)&lt;95,D8+32,D8+100))</f>
        <v>123</v>
      </c>
      <c r="E9" s="56">
        <f>IF(VALUE(E8)=0,194,IF(VALUE(E8)&lt;95,E8+32,E8+100))</f>
        <v>63</v>
      </c>
      <c r="F9" s="56">
        <f>IF(VALUE(F8)=0,194,IF(VALUE(F8)&lt;95,F8+32,F8+100))</f>
        <v>105</v>
      </c>
      <c r="G9" s="56">
        <f>IF(VALUE(G8)=0,194,IF(VALUE(G8)&lt;95,G8+32,G8+100))</f>
        <v>82</v>
      </c>
      <c r="H9" s="56">
        <f>IF(VALUE(H8)=0,194,IF(VALUE(H8)&lt;95,H8+32,H8+100))</f>
        <v>194</v>
      </c>
      <c r="I9" s="56">
        <f>IF(VALUE(I8)=0,194,IF(VALUE(I8)&lt;95,I8+32,I8+100))</f>
        <v>106</v>
      </c>
      <c r="J9" s="56">
        <f>IF(VALUE(J8)=0,194,IF(VALUE(J8)&lt;95,J8+32,J8+100))</f>
        <v>123</v>
      </c>
      <c r="K9" s="56">
        <f>IF(VALUE(K8)=0,194,IF(VALUE(K8)&lt;95,K8+32,K8+100))</f>
        <v>122</v>
      </c>
      <c r="L9" s="56">
        <f>IF(VALUE(L8)=0,194,IF(VALUE(L8)&lt;95,L8+32,L8+100))</f>
        <v>194</v>
      </c>
      <c r="M9" s="56">
        <f>IF(VALUE(M8)=0,194,IF(VALUE(M8)&lt;95,M8+32,M8+100))</f>
        <v>75</v>
      </c>
      <c r="N9" s="56">
        <f>IF(VALUE(N8)=0,194,IF(VALUE(N8)&lt;95,N8+32,N8+100))</f>
        <v>118</v>
      </c>
      <c r="O9" s="56">
        <f>IF(VALUE(O8)=0,194,IF(VALUE(O8)&lt;95,O8+32,O8+100))</f>
        <v>52</v>
      </c>
      <c r="P9" s="56">
        <f>IF(VALUE(P8)=0,194,IF(VALUE(P8)&lt;95,P8+32,P8+100))</f>
        <v>194</v>
      </c>
      <c r="Q9" s="56">
        <f>IF(VALUE(Q8)=0,194,IF(VALUE(Q8)&lt;95,Q8+32,Q8+100))</f>
        <v>194</v>
      </c>
      <c r="R9" s="56">
        <f>IF(VALUE(R8)=0,194,IF(VALUE(R8)&lt;95,R8+32,R8+100))</f>
        <v>194</v>
      </c>
      <c r="S9" s="56">
        <f>IF(VALUE(S8)=0,194,IF(VALUE(S8)&lt;95,S8+32,S8+100))</f>
        <v>194</v>
      </c>
      <c r="T9" s="56">
        <f>IF(VALUE(T8)=0,194,IF(VALUE(T8)&lt;95,T8+32,T8+100))</f>
        <v>194</v>
      </c>
      <c r="U9" s="56">
        <f>IF(VALUE(U8)=0,194,IF(VALUE(U8)&lt;95,U8+32,U8+100))</f>
        <v>194</v>
      </c>
      <c r="V9" s="56">
        <f>IF(VALUE(V8)=0,194,IF(VALUE(V8)&lt;95,V8+32,V8+100))</f>
        <v>194</v>
      </c>
      <c r="W9" s="56">
        <f>IF(VALUE(W8)=0,194,IF(VALUE(W8)&lt;95,W8+32,W8+100))</f>
        <v>194</v>
      </c>
      <c r="X9" s="56">
        <f>IF(VALUE(X8)=0,194,IF(VALUE(X8)&lt;95,X8+32,X8+100))</f>
        <v>194</v>
      </c>
      <c r="Y9" s="56">
        <f>IF(VALUE(Y8)=0,194,IF(VALUE(Y8)&lt;95,Y8+32,Y8+100))</f>
        <v>194</v>
      </c>
      <c r="Z9" s="56">
        <f>IF(VALUE(Z8)=0,194,IF(VALUE(Z8)&lt;95,Z8+32,Z8+100))</f>
        <v>103</v>
      </c>
      <c r="AA9" s="56">
        <f>IF(VALUE(AA8)=0,194,IF(VALUE(AA8)&lt;95,AA8+32,AA8+100))</f>
        <v>57</v>
      </c>
      <c r="AB9" s="56">
        <f>IF(VALUE(AB8)=0,194,IF(VALUE(AB8)&lt;95,AB8+32,AB8+100))</f>
        <v>40</v>
      </c>
      <c r="AC9" s="56">
        <f>IF(VALUE(AC8)=0,194,IF(VALUE(AC8)&lt;95,AC8+32,AC8+100))</f>
        <v>36</v>
      </c>
      <c r="AD9" s="56">
        <f>IF(VALUE(AD8)=0,194,IF(VALUE(AD8)&lt;95,AD8+32,AD8+100))</f>
        <v>47</v>
      </c>
    </row>
    <row r="10" ht="12.75">
      <c r="B10" s="1" t="str">
        <f>_xlfn.UNICHAR(B9)</f>
        <v>Í</v>
      </c>
      <c r="C10" s="56" t="str">
        <f>_xlfn.UNICHAR(C9)</f>
        <v>K</v>
      </c>
      <c r="D10" s="56" t="str">
        <f>_xlfn.UNICHAR(D9)</f>
        <v>{</v>
      </c>
      <c r="E10" s="56" t="str">
        <f>_xlfn.UNICHAR(E9)</f>
        <v>?</v>
      </c>
      <c r="F10" s="56" t="str">
        <f>_xlfn.UNICHAR(F9)</f>
        <v>i</v>
      </c>
      <c r="G10" s="56" t="str">
        <f>_xlfn.UNICHAR(G9)</f>
        <v>R</v>
      </c>
      <c r="H10" s="56" t="str">
        <f>_xlfn.UNICHAR(H9)</f>
        <v>Â</v>
      </c>
      <c r="I10" s="56" t="str">
        <f>_xlfn.UNICHAR(I9)</f>
        <v>j</v>
      </c>
      <c r="J10" s="56" t="str">
        <f>_xlfn.UNICHAR(J9)</f>
        <v>{</v>
      </c>
      <c r="K10" s="56" t="str">
        <f>_xlfn.UNICHAR(K9)</f>
        <v>z</v>
      </c>
      <c r="L10" s="56" t="str">
        <f>_xlfn.UNICHAR(L9)</f>
        <v>Â</v>
      </c>
      <c r="M10" s="56" t="str">
        <f>_xlfn.UNICHAR(M9)</f>
        <v>K</v>
      </c>
      <c r="N10" s="56" t="str">
        <f>_xlfn.UNICHAR(N9)</f>
        <v>v</v>
      </c>
      <c r="O10" s="56" t="str">
        <f>_xlfn.UNICHAR(O9)</f>
        <v>4</v>
      </c>
      <c r="P10" s="56" t="str">
        <f>_xlfn.UNICHAR(P9)</f>
        <v>Â</v>
      </c>
      <c r="Q10" s="56" t="str">
        <f>_xlfn.UNICHAR(Q9)</f>
        <v>Â</v>
      </c>
      <c r="R10" s="56" t="str">
        <f>_xlfn.UNICHAR(R9)</f>
        <v>Â</v>
      </c>
      <c r="S10" s="56" t="str">
        <f>_xlfn.UNICHAR(S9)</f>
        <v>Â</v>
      </c>
      <c r="T10" s="56" t="str">
        <f>_xlfn.UNICHAR(T9)</f>
        <v>Â</v>
      </c>
      <c r="U10" s="56" t="str">
        <f>_xlfn.UNICHAR(U9)</f>
        <v>Â</v>
      </c>
      <c r="V10" s="56" t="str">
        <f>_xlfn.UNICHAR(V9)</f>
        <v>Â</v>
      </c>
      <c r="W10" s="56" t="str">
        <f>_xlfn.UNICHAR(W9)</f>
        <v>Â</v>
      </c>
      <c r="X10" s="56" t="str">
        <f>_xlfn.UNICHAR(X9)</f>
        <v>Â</v>
      </c>
      <c r="Y10" s="56" t="str">
        <f>_xlfn.UNICHAR(Y9)</f>
        <v>Â</v>
      </c>
      <c r="Z10" s="56" t="str">
        <f>_xlfn.UNICHAR(Z9)</f>
        <v>g</v>
      </c>
      <c r="AA10" s="56" t="str">
        <f>_xlfn.UNICHAR(AA9)</f>
        <v>9</v>
      </c>
      <c r="AB10" s="56" t="str">
        <f>_xlfn.UNICHAR(AB9)</f>
        <v>(</v>
      </c>
      <c r="AC10" s="56" t="str">
        <f>_xlfn.UNICHAR(AC9)</f>
        <v>$</v>
      </c>
      <c r="AD10" s="56" t="str">
        <f>_xlfn.UNICHAR(AD9)</f>
        <v>/</v>
      </c>
    </row>
    <row r="11" ht="12.75">
      <c r="A11" s="54" t="s">
        <v>61</v>
      </c>
      <c r="B11" s="1" t="str">
        <f>CONCATENATE("Í",_xlfn.CONCAT(C10:AC10),AD10,"Î")</f>
        <v>ÍK{?iRÂj{zÂKv4ÂÂÂÂÂÂÂÂÂÂg9($/Î</v>
      </c>
      <c r="O11" s="56" t="s">
        <v>62</v>
      </c>
    </row>
    <row r="12" ht="29.25">
      <c r="A12" s="54" t="s">
        <v>63</v>
      </c>
      <c r="B12" s="57" t="str">
        <f>B11</f>
        <v>ÍK{?iRÂj{zÂKv4ÂÂÂÂÂÂÂÂÂÂg9($/Î</v>
      </c>
    </row>
    <row r="13" ht="13">
      <c r="A13" s="58" t="s">
        <v>64</v>
      </c>
    </row>
  </sheetData>
  <hyperlinks>
    <hyperlink r:id="rId1" ref="A13"/>
  </hyperlinks>
  <printOptions headings="0" gridLines="0" horizontalCentered="0" verticalCentered="0"/>
  <pageMargins left="0.70069444444444395" right="0.70069444444444395" top="0.75208333333333299" bottom="0.75208333333333299" header="0.51181102362204689" footer="0.51181102362204689"/>
  <pageSetup paperSize="9" scale="100" fitToWidth="1" fitToHeight="1" pageOrder="downThenOver" orientation="portrait" usePrinterDefaults="1" blackAndWhite="0" draft="0" cellComments="none" useFirstPageNumber="0" errors="displayed" horizontalDpi="300" verticalDpi="3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ONLYOFFICE/8.1.0.169</Application>
  <Template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HH laskupohja</dc:title>
  <dc:subject>Ilmainen laskupohja</dc:subject>
  <dc:creator>Henri Humala</dc:creator>
  <cp:keywords>ilmainen laskupohja excel viivakoodi pankki lasku</cp:keywords>
  <dc:description>Licensed with GNU GPLv3</dc:description>
  <dc:language>fi-FI</dc:language>
  <cp:revision>23</cp:revision>
  <dcterms:created xsi:type="dcterms:W3CDTF">2018-11-05T11:12:18Z</dcterms:created>
  <dcterms:modified xsi:type="dcterms:W3CDTF">2025-07-28T15:43:39Z</dcterms:modified>
</cp:coreProperties>
</file>